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B74803594676E0/Documentos/CAMINHAO 2025/COCA COLA/"/>
    </mc:Choice>
  </mc:AlternateContent>
  <xr:revisionPtr revIDLastSave="70" documentId="8_{FE94EA16-E3F7-4D86-9144-D758E4D0A7FD}" xr6:coauthVersionLast="47" xr6:coauthVersionMax="47" xr10:uidLastSave="{9AEF465C-E1C4-4760-90E0-6EEE03895D05}"/>
  <bookViews>
    <workbookView xWindow="0" yWindow="0" windowWidth="20400" windowHeight="10920" xr2:uid="{00000000-000D-0000-FFFF-FFFF00000000}"/>
  </bookViews>
  <sheets>
    <sheet name="LAF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 s="1"/>
  <c r="F4" i="1"/>
  <c r="F11" i="1"/>
  <c r="F12" i="1"/>
  <c r="F13" i="1"/>
  <c r="F18" i="1"/>
  <c r="F19" i="1"/>
  <c r="F20" i="1"/>
  <c r="F21" i="1"/>
  <c r="F22" i="1"/>
  <c r="F23" i="1"/>
  <c r="F24" i="1"/>
  <c r="F25" i="1"/>
  <c r="F26" i="1"/>
  <c r="F27" i="1"/>
  <c r="F28" i="1"/>
  <c r="F29" i="1"/>
  <c r="F31" i="1"/>
  <c r="F32" i="1"/>
  <c r="F33" i="1"/>
  <c r="F3" i="1"/>
  <c r="V1" i="1"/>
  <c r="E10" i="1"/>
  <c r="F10" i="1" s="1"/>
  <c r="D34" i="1"/>
  <c r="E12" i="1"/>
  <c r="E4" i="1"/>
  <c r="E5" i="1"/>
  <c r="F5" i="1" s="1"/>
  <c r="E7" i="1"/>
  <c r="F7" i="1" s="1"/>
  <c r="E8" i="1"/>
  <c r="F8" i="1" s="1"/>
  <c r="E9" i="1"/>
  <c r="F9" i="1" s="1"/>
  <c r="E11" i="1"/>
  <c r="E13" i="1"/>
  <c r="E14" i="1"/>
  <c r="F14" i="1" s="1"/>
  <c r="E15" i="1"/>
  <c r="F15" i="1" s="1"/>
  <c r="E16" i="1"/>
  <c r="F16" i="1" s="1"/>
  <c r="E17" i="1"/>
  <c r="F17" i="1" s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F30" i="1" s="1"/>
  <c r="E31" i="1"/>
  <c r="E32" i="1"/>
  <c r="E33" i="1"/>
  <c r="E3" i="1"/>
  <c r="V2" i="1" l="1"/>
  <c r="T2" i="1"/>
  <c r="T6" i="1" l="1"/>
  <c r="T7" i="1"/>
  <c r="T10" i="1"/>
  <c r="T11" i="1"/>
  <c r="T12" i="1"/>
  <c r="T13" i="1"/>
  <c r="T14" i="1"/>
  <c r="T15" i="1"/>
  <c r="T16" i="1"/>
  <c r="T18" i="1"/>
  <c r="T19" i="1"/>
  <c r="T20" i="1"/>
  <c r="T21" i="1"/>
  <c r="T22" i="1"/>
  <c r="T23" i="1"/>
  <c r="T26" i="1"/>
  <c r="T27" i="1"/>
  <c r="T28" i="1"/>
  <c r="T29" i="1"/>
  <c r="T30" i="1"/>
  <c r="T32" i="1"/>
  <c r="T33" i="1"/>
  <c r="T24" i="1" l="1"/>
  <c r="T17" i="1"/>
  <c r="T5" i="1"/>
  <c r="T4" i="1"/>
  <c r="T31" i="1"/>
  <c r="T25" i="1"/>
  <c r="T9" i="1"/>
  <c r="T8" i="1"/>
  <c r="S34" i="1"/>
  <c r="R34" i="1"/>
  <c r="Q34" i="1"/>
  <c r="P34" i="1"/>
  <c r="O34" i="1"/>
  <c r="M34" i="1"/>
  <c r="K34" i="1"/>
  <c r="J34" i="1"/>
  <c r="I34" i="1"/>
  <c r="H34" i="1"/>
  <c r="T3" i="1"/>
  <c r="E2" i="1"/>
  <c r="U1" i="1" l="1"/>
  <c r="W1" i="1" s="1"/>
  <c r="G34" i="1"/>
  <c r="E34" i="1"/>
  <c r="F34" i="1" l="1"/>
</calcChain>
</file>

<file path=xl/sharedStrings.xml><?xml version="1.0" encoding="utf-8"?>
<sst xmlns="http://schemas.openxmlformats.org/spreadsheetml/2006/main" count="51" uniqueCount="28">
  <si>
    <t>FRETE</t>
  </si>
  <si>
    <t>DAS</t>
  </si>
  <si>
    <t>Motorista</t>
  </si>
  <si>
    <t>Ajudante</t>
  </si>
  <si>
    <t>Pedagio</t>
  </si>
  <si>
    <t>DATA</t>
  </si>
  <si>
    <t>KM</t>
  </si>
  <si>
    <t>Diesel LT</t>
  </si>
  <si>
    <t>Diesel R$</t>
  </si>
  <si>
    <t>Lucro</t>
  </si>
  <si>
    <t>Almoço</t>
  </si>
  <si>
    <t>Seguro</t>
  </si>
  <si>
    <t>Rastreador</t>
  </si>
  <si>
    <t>INSS</t>
  </si>
  <si>
    <t>Escritorio</t>
  </si>
  <si>
    <t>Ipva</t>
  </si>
  <si>
    <t>Bsoft</t>
  </si>
  <si>
    <t>Unimed</t>
  </si>
  <si>
    <t>Gasto</t>
  </si>
  <si>
    <t>CIDADE</t>
  </si>
  <si>
    <t>Diesel</t>
  </si>
  <si>
    <t>não</t>
  </si>
  <si>
    <t>DOM</t>
  </si>
  <si>
    <t>Tiete</t>
  </si>
  <si>
    <t>SAB</t>
  </si>
  <si>
    <t>feriado</t>
  </si>
  <si>
    <t>S.M.A</t>
  </si>
  <si>
    <t>Tatui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</si>
</sst>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3" borderId="1" xfId="0" applyNumberFormat="1" applyFill="1" applyBorder="1"/>
    <xf numFmtId="14" fontId="0" fillId="0" borderId="1" xfId="0" applyNumberFormat="1" applyBorder="1"/>
    <xf numFmtId="1" fontId="0" fillId="0" borderId="1" xfId="0" applyNumberFormat="1" applyBorder="1"/>
    <xf numFmtId="43" fontId="1" fillId="2" borderId="1" xfId="1" applyFont="1" applyFill="1" applyBorder="1" applyAlignment="1">
      <alignment horizontal="center"/>
    </xf>
    <xf numFmtId="43" fontId="0" fillId="0" borderId="0" xfId="1" applyFont="1"/>
    <xf numFmtId="164" fontId="0" fillId="4" borderId="1" xfId="0" applyNumberFormat="1" applyFill="1" applyBorder="1"/>
    <xf numFmtId="43" fontId="0" fillId="6" borderId="1" xfId="1" applyFont="1" applyFill="1" applyBorder="1"/>
    <xf numFmtId="43" fontId="3" fillId="6" borderId="1" xfId="1" applyFont="1" applyFill="1" applyBorder="1"/>
    <xf numFmtId="2" fontId="0" fillId="7" borderId="1" xfId="0" applyNumberFormat="1" applyFill="1" applyBorder="1"/>
    <xf numFmtId="14" fontId="0" fillId="0" borderId="3" xfId="0" applyNumberFormat="1" applyBorder="1"/>
    <xf numFmtId="14" fontId="0" fillId="0" borderId="4" xfId="0" applyNumberFormat="1" applyBorder="1"/>
    <xf numFmtId="0" fontId="1" fillId="8" borderId="2" xfId="0" applyFont="1" applyFill="1" applyBorder="1" applyAlignment="1">
      <alignment horizontal="center"/>
    </xf>
    <xf numFmtId="2" fontId="1" fillId="7" borderId="1" xfId="0" applyNumberFormat="1" applyFont="1" applyFill="1" applyBorder="1"/>
    <xf numFmtId="0" fontId="1" fillId="0" borderId="0" xfId="0" applyFont="1"/>
    <xf numFmtId="2" fontId="4" fillId="6" borderId="1" xfId="0" applyNumberFormat="1" applyFont="1" applyFill="1" applyBorder="1"/>
    <xf numFmtId="2" fontId="0" fillId="6" borderId="1" xfId="0" applyNumberFormat="1" applyFill="1" applyBorder="1"/>
    <xf numFmtId="2" fontId="3" fillId="6" borderId="1" xfId="0" applyNumberFormat="1" applyFont="1" applyFill="1" applyBorder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6" borderId="2" xfId="0" applyFont="1" applyFill="1" applyBorder="1" applyAlignment="1">
      <alignment horizontal="center"/>
    </xf>
    <xf numFmtId="164" fontId="0" fillId="5" borderId="5" xfId="0" applyNumberFormat="1" applyFill="1" applyBorder="1"/>
    <xf numFmtId="10" fontId="1" fillId="0" borderId="1" xfId="0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="80" zoomScaleNormal="80" workbookViewId="0">
      <pane ySplit="1" topLeftCell="A8" activePane="bottomLeft" state="frozen"/>
      <selection pane="bottomLeft" activeCell="C33" sqref="C33"/>
    </sheetView>
  </sheetViews>
  <sheetFormatPr defaultRowHeight="15" x14ac:dyDescent="0.25"/>
  <cols>
    <col min="1" max="1" width="11.7109375" customWidth="1"/>
    <col min="2" max="2" width="13.7109375" customWidth="1"/>
    <col min="3" max="3" width="11" style="8" customWidth="1"/>
    <col min="15" max="15" width="10" customWidth="1"/>
    <col min="21" max="21" width="13.140625" style="22" customWidth="1"/>
    <col min="22" max="22" width="13.140625" customWidth="1"/>
    <col min="23" max="23" width="13.28515625" customWidth="1"/>
  </cols>
  <sheetData>
    <row r="1" spans="1:23" ht="15.75" thickBot="1" x14ac:dyDescent="0.3">
      <c r="A1" s="15">
        <v>4104</v>
      </c>
      <c r="B1" s="1" t="s">
        <v>19</v>
      </c>
      <c r="C1" s="7" t="s">
        <v>0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10</v>
      </c>
      <c r="J1" s="1" t="s">
        <v>3</v>
      </c>
      <c r="K1" s="1" t="s">
        <v>4</v>
      </c>
      <c r="L1" s="1" t="s">
        <v>17</v>
      </c>
      <c r="M1" s="1" t="s">
        <v>11</v>
      </c>
      <c r="N1" s="1" t="s">
        <v>18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9</v>
      </c>
      <c r="U1" s="9">
        <f>SUM(T2:T1011)-V2</f>
        <v>765.79545454545439</v>
      </c>
      <c r="V1" s="24">
        <f>SUM(C2:C1011)</f>
        <v>5293.76</v>
      </c>
      <c r="W1" s="25">
        <f>U1/V1</f>
        <v>0.14466002511361573</v>
      </c>
    </row>
    <row r="2" spans="1:23" ht="15.75" thickBot="1" x14ac:dyDescent="0.3">
      <c r="A2" s="23" t="s">
        <v>5</v>
      </c>
      <c r="B2" s="13"/>
      <c r="C2" s="10">
        <v>0</v>
      </c>
      <c r="D2" s="2">
        <v>0</v>
      </c>
      <c r="E2" s="6">
        <f t="shared" ref="E2" si="0">SUM(D2/5.6)</f>
        <v>0</v>
      </c>
      <c r="F2" s="3">
        <v>100</v>
      </c>
      <c r="G2" s="3">
        <v>300</v>
      </c>
      <c r="H2" s="3"/>
      <c r="I2" s="3">
        <v>0</v>
      </c>
      <c r="J2" s="3">
        <v>0</v>
      </c>
      <c r="K2" s="3">
        <v>0</v>
      </c>
      <c r="L2" s="3">
        <v>1100</v>
      </c>
      <c r="M2" s="3">
        <v>0</v>
      </c>
      <c r="N2" s="3">
        <v>0</v>
      </c>
      <c r="O2" s="3">
        <v>50</v>
      </c>
      <c r="P2" s="3">
        <v>137.66999999999999</v>
      </c>
      <c r="Q2" s="3">
        <v>0</v>
      </c>
      <c r="R2" s="3">
        <v>110</v>
      </c>
      <c r="S2" s="3">
        <v>110</v>
      </c>
      <c r="T2" s="4">
        <f>SUM(C2,-G2-F2,-H2,-I2,-J2,-K2,-L2,-M2,-N2,-O2,-P2,-Q2,-R2,-S2)</f>
        <v>-1907.67</v>
      </c>
      <c r="U2" s="21" t="s">
        <v>20</v>
      </c>
      <c r="V2" s="17">
        <f>SUM(U3:U150)</f>
        <v>745.84</v>
      </c>
    </row>
    <row r="3" spans="1:23" x14ac:dyDescent="0.25">
      <c r="A3" s="5">
        <v>46174</v>
      </c>
      <c r="B3" s="10" t="s">
        <v>21</v>
      </c>
      <c r="C3" s="11"/>
      <c r="D3" s="2"/>
      <c r="E3" s="6">
        <f t="shared" ref="E3" si="1">SUM(D3/5.5)</f>
        <v>0</v>
      </c>
      <c r="F3" s="3">
        <f>PRODUCT(E3,6.99)</f>
        <v>0</v>
      </c>
      <c r="G3" s="3"/>
      <c r="H3" s="20"/>
      <c r="I3" s="20"/>
      <c r="J3" s="20"/>
      <c r="K3" s="19"/>
      <c r="L3" s="3"/>
      <c r="M3" s="3"/>
      <c r="N3" s="3"/>
      <c r="O3" s="3"/>
      <c r="P3" s="3"/>
      <c r="Q3" s="3"/>
      <c r="R3" s="3"/>
      <c r="S3" s="3"/>
      <c r="T3" s="4">
        <f t="shared" ref="T3:T33" si="2">SUM(C3,-F3,-G3,-H3,-I3,-J3,-K3,-M3,-N3,-O3,-P3,-Q3,-R3,-S3)</f>
        <v>0</v>
      </c>
    </row>
    <row r="4" spans="1:23" x14ac:dyDescent="0.25">
      <c r="A4" s="5">
        <v>46175</v>
      </c>
      <c r="B4" s="10" t="s">
        <v>23</v>
      </c>
      <c r="C4" s="11">
        <v>764.04</v>
      </c>
      <c r="D4" s="2">
        <v>90</v>
      </c>
      <c r="E4" s="6">
        <f t="shared" ref="E4:E33" si="3">SUM(D4/5.5)</f>
        <v>16.363636363636363</v>
      </c>
      <c r="F4" s="3">
        <f t="shared" ref="F4:F33" si="4">PRODUCT(E4,6.99)</f>
        <v>114.38181818181819</v>
      </c>
      <c r="G4" s="3"/>
      <c r="H4" s="20">
        <v>150</v>
      </c>
      <c r="I4" s="20">
        <v>30</v>
      </c>
      <c r="J4" s="19"/>
      <c r="K4" s="19"/>
      <c r="L4" s="3"/>
      <c r="M4" s="3"/>
      <c r="N4" s="3"/>
      <c r="O4" s="3"/>
      <c r="P4" s="3"/>
      <c r="Q4" s="3"/>
      <c r="R4" s="3"/>
      <c r="S4" s="3"/>
      <c r="T4" s="4">
        <f t="shared" si="2"/>
        <v>469.65818181818179</v>
      </c>
    </row>
    <row r="5" spans="1:23" x14ac:dyDescent="0.25">
      <c r="A5" s="5">
        <v>46176</v>
      </c>
      <c r="B5" s="10" t="s">
        <v>21</v>
      </c>
      <c r="C5" s="11"/>
      <c r="D5" s="2"/>
      <c r="E5" s="6">
        <f t="shared" si="3"/>
        <v>0</v>
      </c>
      <c r="F5" s="3">
        <f t="shared" si="4"/>
        <v>0</v>
      </c>
      <c r="G5" s="3"/>
      <c r="H5" s="20"/>
      <c r="I5" s="18"/>
      <c r="J5" s="19"/>
      <c r="K5" s="19"/>
      <c r="L5" s="3"/>
      <c r="M5" s="3"/>
      <c r="N5" s="3"/>
      <c r="O5" s="3"/>
      <c r="P5" s="3"/>
      <c r="Q5" s="3"/>
      <c r="R5" s="3"/>
      <c r="S5" s="3"/>
      <c r="T5" s="4">
        <f t="shared" si="2"/>
        <v>0</v>
      </c>
    </row>
    <row r="6" spans="1:23" x14ac:dyDescent="0.25">
      <c r="A6" s="5">
        <v>46177</v>
      </c>
      <c r="B6" s="10" t="s">
        <v>25</v>
      </c>
      <c r="C6" s="11"/>
      <c r="D6" s="2"/>
      <c r="E6" s="6">
        <f t="shared" ref="E6" si="5">SUM(D6/5.5)</f>
        <v>0</v>
      </c>
      <c r="F6" s="3">
        <f t="shared" ref="F6" si="6">PRODUCT(E6,6.99)</f>
        <v>0</v>
      </c>
      <c r="G6" s="3"/>
      <c r="H6" s="20"/>
      <c r="I6" s="18"/>
      <c r="J6" s="19"/>
      <c r="K6" s="19"/>
      <c r="L6" s="3"/>
      <c r="M6" s="3"/>
      <c r="N6" s="3"/>
      <c r="O6" s="3"/>
      <c r="P6" s="3"/>
      <c r="Q6" s="3"/>
      <c r="R6" s="3"/>
      <c r="S6" s="3"/>
      <c r="T6" s="4">
        <f t="shared" si="2"/>
        <v>0</v>
      </c>
    </row>
    <row r="7" spans="1:23" x14ac:dyDescent="0.25">
      <c r="A7" s="5">
        <v>46178</v>
      </c>
      <c r="B7" s="10" t="s">
        <v>26</v>
      </c>
      <c r="C7" s="11">
        <v>1148.06</v>
      </c>
      <c r="D7" s="2">
        <v>220</v>
      </c>
      <c r="E7" s="6">
        <f t="shared" si="3"/>
        <v>40</v>
      </c>
      <c r="F7" s="3">
        <f t="shared" si="4"/>
        <v>279.60000000000002</v>
      </c>
      <c r="G7" s="3"/>
      <c r="H7" s="20">
        <v>150</v>
      </c>
      <c r="I7" s="20">
        <v>44</v>
      </c>
      <c r="J7" s="20">
        <v>100</v>
      </c>
      <c r="K7" s="19">
        <v>65</v>
      </c>
      <c r="L7" s="3"/>
      <c r="M7" s="3"/>
      <c r="N7" s="3"/>
      <c r="O7" s="3"/>
      <c r="P7" s="3"/>
      <c r="Q7" s="3"/>
      <c r="R7" s="3"/>
      <c r="S7" s="3"/>
      <c r="T7" s="4">
        <f t="shared" si="2"/>
        <v>509.45999999999992</v>
      </c>
      <c r="U7" s="22">
        <v>745.84</v>
      </c>
    </row>
    <row r="8" spans="1:23" x14ac:dyDescent="0.25">
      <c r="A8" s="5">
        <v>46179</v>
      </c>
      <c r="B8" s="10" t="s">
        <v>24</v>
      </c>
      <c r="C8" s="11"/>
      <c r="D8" s="2"/>
      <c r="E8" s="6">
        <f t="shared" si="3"/>
        <v>0</v>
      </c>
      <c r="F8" s="3">
        <f t="shared" si="4"/>
        <v>0</v>
      </c>
      <c r="G8" s="3"/>
      <c r="H8" s="20"/>
      <c r="I8" s="20"/>
      <c r="J8" s="19"/>
      <c r="K8" s="19"/>
      <c r="L8" s="3"/>
      <c r="M8" s="3"/>
      <c r="N8" s="3"/>
      <c r="O8" s="3"/>
      <c r="P8" s="3"/>
      <c r="Q8" s="3"/>
      <c r="R8" s="3"/>
      <c r="S8" s="3"/>
      <c r="T8" s="4">
        <f t="shared" si="2"/>
        <v>0</v>
      </c>
    </row>
    <row r="9" spans="1:23" x14ac:dyDescent="0.25">
      <c r="A9" s="5">
        <v>46180</v>
      </c>
      <c r="B9" s="10" t="s">
        <v>22</v>
      </c>
      <c r="C9" s="11"/>
      <c r="D9" s="2"/>
      <c r="E9" s="6">
        <f t="shared" si="3"/>
        <v>0</v>
      </c>
      <c r="F9" s="3">
        <f t="shared" si="4"/>
        <v>0</v>
      </c>
      <c r="G9" s="3"/>
      <c r="H9" s="20"/>
      <c r="I9" s="20"/>
      <c r="J9" s="20"/>
      <c r="K9" s="19"/>
      <c r="L9" s="3"/>
      <c r="M9" s="3"/>
      <c r="N9" s="3"/>
      <c r="O9" s="3"/>
      <c r="P9" s="3"/>
      <c r="Q9" s="3"/>
      <c r="R9" s="3"/>
      <c r="S9" s="3"/>
      <c r="T9" s="4">
        <f t="shared" si="2"/>
        <v>0</v>
      </c>
    </row>
    <row r="10" spans="1:23" x14ac:dyDescent="0.25">
      <c r="A10" s="5">
        <v>46181</v>
      </c>
      <c r="B10" s="10" t="s">
        <v>21</v>
      </c>
      <c r="C10" s="11"/>
      <c r="D10" s="2"/>
      <c r="E10" s="6">
        <f t="shared" ref="E10" si="7">SUM(D10/5.5)</f>
        <v>0</v>
      </c>
      <c r="F10" s="3">
        <f t="shared" si="4"/>
        <v>0</v>
      </c>
      <c r="G10" s="3"/>
      <c r="H10" s="20"/>
      <c r="I10" s="20"/>
      <c r="J10" s="20"/>
      <c r="K10" s="19"/>
      <c r="L10" s="3"/>
      <c r="M10" s="3"/>
      <c r="N10" s="3"/>
      <c r="O10" s="3"/>
      <c r="P10" s="3"/>
      <c r="Q10" s="3"/>
      <c r="R10" s="3"/>
      <c r="S10" s="3"/>
      <c r="T10" s="4">
        <f t="shared" si="2"/>
        <v>0</v>
      </c>
    </row>
    <row r="11" spans="1:23" x14ac:dyDescent="0.25">
      <c r="A11" s="5">
        <v>46182</v>
      </c>
      <c r="B11" s="10" t="s">
        <v>23</v>
      </c>
      <c r="C11" s="11">
        <v>1041.02</v>
      </c>
      <c r="D11" s="2">
        <v>90</v>
      </c>
      <c r="E11" s="6">
        <f t="shared" si="3"/>
        <v>16.363636363636363</v>
      </c>
      <c r="F11" s="3">
        <f t="shared" si="4"/>
        <v>114.38181818181819</v>
      </c>
      <c r="G11" s="3"/>
      <c r="H11" s="20">
        <v>150</v>
      </c>
      <c r="I11" s="20"/>
      <c r="J11" s="20"/>
      <c r="K11" s="19"/>
      <c r="L11" s="3"/>
      <c r="M11" s="3"/>
      <c r="N11" s="3"/>
      <c r="O11" s="3"/>
      <c r="P11" s="3"/>
      <c r="Q11" s="3"/>
      <c r="R11" s="3"/>
      <c r="S11" s="3"/>
      <c r="T11" s="4">
        <f t="shared" si="2"/>
        <v>776.63818181818181</v>
      </c>
    </row>
    <row r="12" spans="1:23" x14ac:dyDescent="0.25">
      <c r="A12" s="5">
        <v>46183</v>
      </c>
      <c r="B12" s="10" t="s">
        <v>21</v>
      </c>
      <c r="C12" s="11"/>
      <c r="D12" s="2"/>
      <c r="E12" s="6">
        <f t="shared" ref="E12" si="8">SUM(D12/5.5)</f>
        <v>0</v>
      </c>
      <c r="F12" s="3">
        <f t="shared" si="4"/>
        <v>0</v>
      </c>
      <c r="G12" s="3"/>
      <c r="H12" s="20"/>
      <c r="I12" s="19"/>
      <c r="J12" s="20"/>
      <c r="K12" s="19"/>
      <c r="L12" s="3"/>
      <c r="M12" s="3"/>
      <c r="N12" s="3"/>
      <c r="O12" s="3"/>
      <c r="P12" s="3"/>
      <c r="Q12" s="3"/>
      <c r="R12" s="3"/>
      <c r="S12" s="3"/>
      <c r="T12" s="4">
        <f t="shared" si="2"/>
        <v>0</v>
      </c>
    </row>
    <row r="13" spans="1:23" x14ac:dyDescent="0.25">
      <c r="A13" s="5">
        <v>46184</v>
      </c>
      <c r="B13" s="10" t="s">
        <v>21</v>
      </c>
      <c r="C13" s="11"/>
      <c r="D13" s="2"/>
      <c r="E13" s="6">
        <f t="shared" si="3"/>
        <v>0</v>
      </c>
      <c r="F13" s="3">
        <f t="shared" si="4"/>
        <v>0</v>
      </c>
      <c r="G13" s="3"/>
      <c r="H13" s="20"/>
      <c r="I13" s="18"/>
      <c r="J13" s="20"/>
      <c r="K13" s="19"/>
      <c r="L13" s="3"/>
      <c r="M13" s="3"/>
      <c r="N13" s="3"/>
      <c r="O13" s="3"/>
      <c r="P13" s="3"/>
      <c r="Q13" s="3"/>
      <c r="R13" s="3"/>
      <c r="S13" s="3"/>
      <c r="T13" s="4">
        <f t="shared" si="2"/>
        <v>0</v>
      </c>
    </row>
    <row r="14" spans="1:23" x14ac:dyDescent="0.25">
      <c r="A14" s="5">
        <v>46185</v>
      </c>
      <c r="B14" s="11" t="s">
        <v>21</v>
      </c>
      <c r="C14" s="11"/>
      <c r="D14" s="2"/>
      <c r="E14" s="6">
        <f t="shared" si="3"/>
        <v>0</v>
      </c>
      <c r="F14" s="3">
        <f t="shared" si="4"/>
        <v>0</v>
      </c>
      <c r="G14" s="3"/>
      <c r="H14" s="20"/>
      <c r="I14" s="18"/>
      <c r="J14" s="20"/>
      <c r="K14" s="19"/>
      <c r="L14" s="3"/>
      <c r="M14" s="3"/>
      <c r="N14" s="3"/>
      <c r="O14" s="3"/>
      <c r="P14" s="3"/>
      <c r="Q14" s="3"/>
      <c r="R14" s="3"/>
      <c r="S14" s="3"/>
      <c r="T14" s="4">
        <f t="shared" si="2"/>
        <v>0</v>
      </c>
    </row>
    <row r="15" spans="1:23" x14ac:dyDescent="0.25">
      <c r="A15" s="5">
        <v>46186</v>
      </c>
      <c r="B15" s="10" t="s">
        <v>24</v>
      </c>
      <c r="C15" s="11"/>
      <c r="D15" s="2"/>
      <c r="E15" s="6">
        <f t="shared" si="3"/>
        <v>0</v>
      </c>
      <c r="F15" s="3">
        <f t="shared" si="4"/>
        <v>0</v>
      </c>
      <c r="G15" s="3"/>
      <c r="H15" s="20"/>
      <c r="I15" s="20"/>
      <c r="J15" s="20"/>
      <c r="K15" s="19"/>
      <c r="L15" s="3"/>
      <c r="M15" s="3"/>
      <c r="N15" s="3"/>
      <c r="O15" s="3"/>
      <c r="P15" s="3"/>
      <c r="Q15" s="3"/>
      <c r="R15" s="3"/>
      <c r="S15" s="3"/>
      <c r="T15" s="4">
        <f t="shared" si="2"/>
        <v>0</v>
      </c>
    </row>
    <row r="16" spans="1:23" x14ac:dyDescent="0.25">
      <c r="A16" s="5">
        <v>46187</v>
      </c>
      <c r="B16" s="10" t="s">
        <v>22</v>
      </c>
      <c r="C16" s="11"/>
      <c r="D16" s="2"/>
      <c r="E16" s="6">
        <f t="shared" si="3"/>
        <v>0</v>
      </c>
      <c r="F16" s="3">
        <f t="shared" si="4"/>
        <v>0</v>
      </c>
      <c r="G16" s="3"/>
      <c r="H16" s="20"/>
      <c r="I16" s="20"/>
      <c r="J16" s="20"/>
      <c r="K16" s="19"/>
      <c r="L16" s="3"/>
      <c r="M16" s="3"/>
      <c r="N16" s="3"/>
      <c r="O16" s="3"/>
      <c r="P16" s="3"/>
      <c r="Q16" s="3"/>
      <c r="R16" s="3"/>
      <c r="S16" s="3"/>
      <c r="T16" s="4">
        <f t="shared" si="2"/>
        <v>0</v>
      </c>
    </row>
    <row r="17" spans="1:20" x14ac:dyDescent="0.25">
      <c r="A17" s="5">
        <v>46188</v>
      </c>
      <c r="B17" s="11" t="s">
        <v>21</v>
      </c>
      <c r="C17" s="11"/>
      <c r="D17" s="2"/>
      <c r="E17" s="6">
        <f t="shared" si="3"/>
        <v>0</v>
      </c>
      <c r="F17" s="3">
        <f t="shared" si="4"/>
        <v>0</v>
      </c>
      <c r="G17" s="3"/>
      <c r="H17" s="20"/>
      <c r="I17" s="20"/>
      <c r="J17" s="18"/>
      <c r="K17" s="19"/>
      <c r="L17" s="3"/>
      <c r="M17" s="3"/>
      <c r="N17" s="3"/>
      <c r="O17" s="3"/>
      <c r="P17" s="3"/>
      <c r="Q17" s="3"/>
      <c r="R17" s="3"/>
      <c r="S17" s="3"/>
      <c r="T17" s="4">
        <f t="shared" si="2"/>
        <v>0</v>
      </c>
    </row>
    <row r="18" spans="1:20" x14ac:dyDescent="0.25">
      <c r="A18" s="5">
        <v>46189</v>
      </c>
      <c r="B18" s="10" t="s">
        <v>21</v>
      </c>
      <c r="C18" s="11"/>
      <c r="D18" s="2"/>
      <c r="E18" s="6">
        <f t="shared" si="3"/>
        <v>0</v>
      </c>
      <c r="F18" s="3">
        <f t="shared" si="4"/>
        <v>0</v>
      </c>
      <c r="G18" s="3"/>
      <c r="H18" s="20"/>
      <c r="I18" s="20"/>
      <c r="J18" s="18"/>
      <c r="K18" s="19"/>
      <c r="L18" s="3"/>
      <c r="M18" s="3"/>
      <c r="N18" s="3"/>
      <c r="O18" s="3"/>
      <c r="P18" s="3"/>
      <c r="Q18" s="3"/>
      <c r="R18" s="3"/>
      <c r="S18" s="3"/>
      <c r="T18" s="4">
        <f t="shared" si="2"/>
        <v>0</v>
      </c>
    </row>
    <row r="19" spans="1:20" x14ac:dyDescent="0.25">
      <c r="A19" s="5">
        <v>46190</v>
      </c>
      <c r="B19" s="11" t="s">
        <v>27</v>
      </c>
      <c r="C19" s="11">
        <v>1128.74</v>
      </c>
      <c r="D19" s="2">
        <v>50</v>
      </c>
      <c r="E19" s="6">
        <f t="shared" si="3"/>
        <v>9.0909090909090917</v>
      </c>
      <c r="F19" s="3">
        <f t="shared" si="4"/>
        <v>63.545454545454554</v>
      </c>
      <c r="G19" s="3"/>
      <c r="H19" s="19">
        <v>150</v>
      </c>
      <c r="I19" s="18"/>
      <c r="J19" s="20">
        <v>100</v>
      </c>
      <c r="K19" s="19"/>
      <c r="L19" s="3"/>
      <c r="M19" s="3"/>
      <c r="N19" s="3"/>
      <c r="O19" s="3"/>
      <c r="P19" s="3"/>
      <c r="Q19" s="3"/>
      <c r="R19" s="3"/>
      <c r="S19" s="3"/>
      <c r="T19" s="4">
        <f t="shared" si="2"/>
        <v>815.1945454545455</v>
      </c>
    </row>
    <row r="20" spans="1:20" x14ac:dyDescent="0.25">
      <c r="A20" s="5">
        <v>46191</v>
      </c>
      <c r="B20" s="10" t="s">
        <v>27</v>
      </c>
      <c r="C20" s="11">
        <v>1211.9000000000001</v>
      </c>
      <c r="D20" s="2">
        <v>50</v>
      </c>
      <c r="E20" s="6">
        <f t="shared" si="3"/>
        <v>9.0909090909090917</v>
      </c>
      <c r="F20" s="3">
        <f t="shared" si="4"/>
        <v>63.545454545454554</v>
      </c>
      <c r="G20" s="3"/>
      <c r="H20" s="19">
        <v>150</v>
      </c>
      <c r="I20" s="20">
        <v>50</v>
      </c>
      <c r="J20" s="20">
        <v>100</v>
      </c>
      <c r="K20" s="19"/>
      <c r="L20" s="3"/>
      <c r="M20" s="3"/>
      <c r="N20" s="3"/>
      <c r="O20" s="3"/>
      <c r="P20" s="3"/>
      <c r="Q20" s="3"/>
      <c r="R20" s="3"/>
      <c r="S20" s="3"/>
      <c r="T20" s="4">
        <f t="shared" si="2"/>
        <v>848.35454545454559</v>
      </c>
    </row>
    <row r="21" spans="1:20" x14ac:dyDescent="0.25">
      <c r="A21" s="5">
        <v>46192</v>
      </c>
      <c r="B21" s="11" t="s">
        <v>21</v>
      </c>
      <c r="C21" s="11"/>
      <c r="D21" s="2"/>
      <c r="E21" s="6">
        <f t="shared" si="3"/>
        <v>0</v>
      </c>
      <c r="F21" s="3">
        <f t="shared" si="4"/>
        <v>0</v>
      </c>
      <c r="G21" s="3"/>
      <c r="H21" s="19"/>
      <c r="I21" s="20"/>
      <c r="J21" s="18"/>
      <c r="K21" s="19"/>
      <c r="L21" s="3"/>
      <c r="M21" s="3"/>
      <c r="N21" s="3"/>
      <c r="O21" s="3"/>
      <c r="P21" s="3"/>
      <c r="Q21" s="3"/>
      <c r="R21" s="3"/>
      <c r="S21" s="3"/>
      <c r="T21" s="4">
        <f t="shared" si="2"/>
        <v>0</v>
      </c>
    </row>
    <row r="22" spans="1:20" x14ac:dyDescent="0.25">
      <c r="A22" s="5">
        <v>46193</v>
      </c>
      <c r="B22" s="10" t="s">
        <v>24</v>
      </c>
      <c r="C22" s="11"/>
      <c r="D22" s="2"/>
      <c r="E22" s="6">
        <f t="shared" si="3"/>
        <v>0</v>
      </c>
      <c r="F22" s="3">
        <f t="shared" si="4"/>
        <v>0</v>
      </c>
      <c r="G22" s="3"/>
      <c r="H22" s="19"/>
      <c r="I22" s="20"/>
      <c r="J22" s="18"/>
      <c r="K22" s="19"/>
      <c r="L22" s="3"/>
      <c r="M22" s="3"/>
      <c r="N22" s="3"/>
      <c r="O22" s="3"/>
      <c r="P22" s="3"/>
      <c r="Q22" s="3"/>
      <c r="R22" s="3"/>
      <c r="S22" s="3"/>
      <c r="T22" s="4">
        <f t="shared" si="2"/>
        <v>0</v>
      </c>
    </row>
    <row r="23" spans="1:20" x14ac:dyDescent="0.25">
      <c r="A23" s="5">
        <v>46194</v>
      </c>
      <c r="B23" s="10" t="s">
        <v>22</v>
      </c>
      <c r="C23" s="11"/>
      <c r="D23" s="2"/>
      <c r="E23" s="6">
        <f t="shared" si="3"/>
        <v>0</v>
      </c>
      <c r="F23" s="3">
        <f t="shared" si="4"/>
        <v>0</v>
      </c>
      <c r="G23" s="3"/>
      <c r="H23" s="19"/>
      <c r="I23" s="20"/>
      <c r="J23" s="18"/>
      <c r="K23" s="19"/>
      <c r="L23" s="3"/>
      <c r="M23" s="3"/>
      <c r="N23" s="3"/>
      <c r="O23" s="3"/>
      <c r="P23" s="3"/>
      <c r="Q23" s="3"/>
      <c r="R23" s="3"/>
      <c r="S23" s="3"/>
      <c r="T23" s="4">
        <f t="shared" si="2"/>
        <v>0</v>
      </c>
    </row>
    <row r="24" spans="1:20" x14ac:dyDescent="0.25">
      <c r="A24" s="5">
        <v>46195</v>
      </c>
      <c r="B24" s="11" t="s">
        <v>21</v>
      </c>
      <c r="C24" s="11"/>
      <c r="D24" s="2"/>
      <c r="E24" s="6">
        <f t="shared" si="3"/>
        <v>0</v>
      </c>
      <c r="F24" s="3">
        <f t="shared" si="4"/>
        <v>0</v>
      </c>
      <c r="G24" s="3"/>
      <c r="H24" s="19"/>
      <c r="I24" s="20"/>
      <c r="J24" s="18"/>
      <c r="K24" s="19"/>
      <c r="L24" s="3"/>
      <c r="M24" s="3"/>
      <c r="N24" s="3"/>
      <c r="O24" s="3"/>
      <c r="P24" s="3"/>
      <c r="Q24" s="3"/>
      <c r="R24" s="3"/>
      <c r="S24" s="3"/>
      <c r="T24" s="4">
        <f t="shared" si="2"/>
        <v>0</v>
      </c>
    </row>
    <row r="25" spans="1:20" x14ac:dyDescent="0.25">
      <c r="A25" s="5">
        <v>46196</v>
      </c>
      <c r="B25" s="10" t="s">
        <v>21</v>
      </c>
      <c r="C25" s="11"/>
      <c r="D25" s="2"/>
      <c r="E25" s="6">
        <f t="shared" si="3"/>
        <v>0</v>
      </c>
      <c r="F25" s="3">
        <f t="shared" si="4"/>
        <v>0</v>
      </c>
      <c r="G25" s="3"/>
      <c r="H25" s="19"/>
      <c r="I25" s="20"/>
      <c r="J25" s="18"/>
      <c r="K25" s="19"/>
      <c r="L25" s="3"/>
      <c r="M25" s="3"/>
      <c r="N25" s="3"/>
      <c r="O25" s="3"/>
      <c r="P25" s="3"/>
      <c r="Q25" s="3"/>
      <c r="R25" s="3"/>
      <c r="S25" s="3"/>
      <c r="T25" s="4">
        <f t="shared" si="2"/>
        <v>0</v>
      </c>
    </row>
    <row r="26" spans="1:20" x14ac:dyDescent="0.25">
      <c r="A26" s="5">
        <v>46197</v>
      </c>
      <c r="B26" s="11" t="s">
        <v>21</v>
      </c>
      <c r="C26" s="11"/>
      <c r="D26" s="2"/>
      <c r="E26" s="6">
        <f t="shared" si="3"/>
        <v>0</v>
      </c>
      <c r="F26" s="3">
        <f t="shared" si="4"/>
        <v>0</v>
      </c>
      <c r="G26" s="3"/>
      <c r="H26" s="19"/>
      <c r="I26" s="20"/>
      <c r="J26" s="18"/>
      <c r="K26" s="19"/>
      <c r="L26" s="3"/>
      <c r="M26" s="3"/>
      <c r="N26" s="3"/>
      <c r="O26" s="3"/>
      <c r="P26" s="3"/>
      <c r="Q26" s="3"/>
      <c r="R26" s="3"/>
      <c r="S26" s="3"/>
      <c r="T26" s="4">
        <f t="shared" si="2"/>
        <v>0</v>
      </c>
    </row>
    <row r="27" spans="1:20" x14ac:dyDescent="0.25">
      <c r="A27" s="5">
        <v>46198</v>
      </c>
      <c r="B27" s="10" t="s">
        <v>21</v>
      </c>
      <c r="C27" s="11"/>
      <c r="D27" s="2"/>
      <c r="E27" s="6">
        <f t="shared" si="3"/>
        <v>0</v>
      </c>
      <c r="F27" s="3">
        <f t="shared" si="4"/>
        <v>0</v>
      </c>
      <c r="G27" s="3"/>
      <c r="H27" s="19"/>
      <c r="I27" s="19"/>
      <c r="J27" s="18"/>
      <c r="K27" s="19"/>
      <c r="L27" s="3"/>
      <c r="M27" s="3"/>
      <c r="N27" s="3"/>
      <c r="O27" s="3"/>
      <c r="P27" s="3"/>
      <c r="Q27" s="3"/>
      <c r="R27" s="3"/>
      <c r="S27" s="3"/>
      <c r="T27" s="4">
        <f t="shared" si="2"/>
        <v>0</v>
      </c>
    </row>
    <row r="28" spans="1:20" x14ac:dyDescent="0.25">
      <c r="A28" s="5">
        <v>46199</v>
      </c>
      <c r="B28" s="11" t="s">
        <v>21</v>
      </c>
      <c r="C28" s="11"/>
      <c r="D28" s="2"/>
      <c r="E28" s="6">
        <f t="shared" si="3"/>
        <v>0</v>
      </c>
      <c r="F28" s="3">
        <f t="shared" si="4"/>
        <v>0</v>
      </c>
      <c r="G28" s="3"/>
      <c r="H28" s="19"/>
      <c r="I28" s="20"/>
      <c r="J28" s="18"/>
      <c r="K28" s="19"/>
      <c r="L28" s="3"/>
      <c r="M28" s="3"/>
      <c r="N28" s="3"/>
      <c r="O28" s="3"/>
      <c r="P28" s="3"/>
      <c r="Q28" s="3"/>
      <c r="R28" s="3"/>
      <c r="S28" s="3"/>
      <c r="T28" s="4">
        <f t="shared" si="2"/>
        <v>0</v>
      </c>
    </row>
    <row r="29" spans="1:20" x14ac:dyDescent="0.25">
      <c r="A29" s="5">
        <v>46200</v>
      </c>
      <c r="B29" s="10" t="s">
        <v>24</v>
      </c>
      <c r="C29" s="11"/>
      <c r="D29" s="2"/>
      <c r="E29" s="6">
        <f t="shared" si="3"/>
        <v>0</v>
      </c>
      <c r="F29" s="3">
        <f t="shared" si="4"/>
        <v>0</v>
      </c>
      <c r="G29" s="3"/>
      <c r="H29" s="19"/>
      <c r="I29" s="19"/>
      <c r="J29" s="18"/>
      <c r="K29" s="19"/>
      <c r="L29" s="3"/>
      <c r="M29" s="3"/>
      <c r="N29" s="3"/>
      <c r="O29" s="3"/>
      <c r="P29" s="3"/>
      <c r="Q29" s="3"/>
      <c r="R29" s="3"/>
      <c r="S29" s="3"/>
      <c r="T29" s="4">
        <f t="shared" si="2"/>
        <v>0</v>
      </c>
    </row>
    <row r="30" spans="1:20" x14ac:dyDescent="0.25">
      <c r="A30" s="5">
        <v>46201</v>
      </c>
      <c r="B30" s="10" t="s">
        <v>22</v>
      </c>
      <c r="C30" s="11"/>
      <c r="D30" s="2"/>
      <c r="E30" s="6">
        <f t="shared" si="3"/>
        <v>0</v>
      </c>
      <c r="F30" s="3">
        <f t="shared" si="4"/>
        <v>0</v>
      </c>
      <c r="G30" s="3"/>
      <c r="H30" s="19"/>
      <c r="I30" s="18"/>
      <c r="J30" s="18"/>
      <c r="K30" s="19"/>
      <c r="L30" s="3"/>
      <c r="M30" s="3"/>
      <c r="N30" s="3"/>
      <c r="O30" s="3"/>
      <c r="P30" s="3"/>
      <c r="Q30" s="3"/>
      <c r="R30" s="3"/>
      <c r="S30" s="3"/>
      <c r="T30" s="4">
        <f t="shared" si="2"/>
        <v>0</v>
      </c>
    </row>
    <row r="31" spans="1:20" x14ac:dyDescent="0.25">
      <c r="A31" s="5">
        <v>46202</v>
      </c>
      <c r="B31" s="5" t="s">
        <v>21</v>
      </c>
      <c r="C31" s="11"/>
      <c r="D31" s="2"/>
      <c r="E31" s="6">
        <f t="shared" si="3"/>
        <v>0</v>
      </c>
      <c r="F31" s="3">
        <f t="shared" si="4"/>
        <v>0</v>
      </c>
      <c r="G31" s="3"/>
      <c r="H31" s="19"/>
      <c r="I31" s="20"/>
      <c r="J31" s="18"/>
      <c r="K31" s="19"/>
      <c r="L31" s="3"/>
      <c r="M31" s="3"/>
      <c r="N31" s="3"/>
      <c r="O31" s="3"/>
      <c r="P31" s="3"/>
      <c r="Q31" s="3"/>
      <c r="R31" s="3"/>
      <c r="S31" s="3"/>
      <c r="T31" s="4">
        <f t="shared" si="2"/>
        <v>0</v>
      </c>
    </row>
    <row r="32" spans="1:20" x14ac:dyDescent="0.25">
      <c r="A32" s="5">
        <v>46203</v>
      </c>
      <c r="B32" s="10" t="s">
        <v>21</v>
      </c>
      <c r="C32" s="11"/>
      <c r="D32" s="2"/>
      <c r="E32" s="6">
        <f t="shared" si="3"/>
        <v>0</v>
      </c>
      <c r="F32" s="3">
        <f t="shared" si="4"/>
        <v>0</v>
      </c>
      <c r="G32" s="3"/>
      <c r="H32" s="19"/>
      <c r="I32" s="19"/>
      <c r="J32" s="18"/>
      <c r="K32" s="19"/>
      <c r="L32" s="3"/>
      <c r="M32" s="3"/>
      <c r="N32" s="3"/>
      <c r="O32" s="3"/>
      <c r="P32" s="3"/>
      <c r="Q32" s="3"/>
      <c r="R32" s="3"/>
      <c r="S32" s="3"/>
      <c r="T32" s="4">
        <f t="shared" si="2"/>
        <v>0</v>
      </c>
    </row>
    <row r="33" spans="1:20" x14ac:dyDescent="0.25">
      <c r="A33" s="14"/>
      <c r="B33" s="5"/>
      <c r="C33" s="11"/>
      <c r="D33" s="2"/>
      <c r="E33" s="6">
        <f t="shared" si="3"/>
        <v>0</v>
      </c>
      <c r="F33" s="3">
        <f t="shared" si="4"/>
        <v>0</v>
      </c>
      <c r="G33" s="3"/>
      <c r="H33" s="19"/>
      <c r="I33" s="20"/>
      <c r="J33" s="18"/>
      <c r="K33" s="19"/>
      <c r="L33" s="3"/>
      <c r="M33" s="3"/>
      <c r="N33" s="3"/>
      <c r="O33" s="3"/>
      <c r="P33" s="3"/>
      <c r="Q33" s="3"/>
      <c r="R33" s="3"/>
      <c r="S33" s="3"/>
      <c r="T33" s="4">
        <f t="shared" si="2"/>
        <v>0</v>
      </c>
    </row>
    <row r="34" spans="1:20" x14ac:dyDescent="0.25">
      <c r="A34" s="2"/>
      <c r="B34" s="2"/>
      <c r="C34" s="10">
        <v>0</v>
      </c>
      <c r="D34" s="2">
        <f>SUM(D2:D33)</f>
        <v>500</v>
      </c>
      <c r="E34" s="6">
        <f t="shared" ref="E34:K34" si="9">SUM(E2:E33)</f>
        <v>90.909090909090907</v>
      </c>
      <c r="F34" s="3">
        <f>SUM(F2:F33)</f>
        <v>735.45454545454538</v>
      </c>
      <c r="G34" s="3">
        <f t="shared" si="9"/>
        <v>300</v>
      </c>
      <c r="H34" s="16">
        <f t="shared" si="9"/>
        <v>750</v>
      </c>
      <c r="I34" s="3">
        <f t="shared" si="9"/>
        <v>124</v>
      </c>
      <c r="J34" s="12">
        <f t="shared" si="9"/>
        <v>300</v>
      </c>
      <c r="K34" s="3">
        <f t="shared" si="9"/>
        <v>65</v>
      </c>
      <c r="L34" s="3"/>
      <c r="M34" s="3">
        <f t="shared" ref="M34:S34" si="10">SUM(M2:M33)</f>
        <v>0</v>
      </c>
      <c r="N34" s="3"/>
      <c r="O34" s="3">
        <f t="shared" si="10"/>
        <v>50</v>
      </c>
      <c r="P34" s="3">
        <f t="shared" si="10"/>
        <v>137.66999999999999</v>
      </c>
      <c r="Q34" s="3">
        <f t="shared" si="10"/>
        <v>0</v>
      </c>
      <c r="R34" s="3">
        <f t="shared" si="10"/>
        <v>110</v>
      </c>
      <c r="S34" s="3">
        <f t="shared" si="10"/>
        <v>110</v>
      </c>
      <c r="T34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Marcio Fakri</cp:lastModifiedBy>
  <dcterms:created xsi:type="dcterms:W3CDTF">2022-04-06T09:25:40Z</dcterms:created>
  <dcterms:modified xsi:type="dcterms:W3CDTF">2026-06-28T10:48:30Z</dcterms:modified>
</cp:coreProperties>
</file>